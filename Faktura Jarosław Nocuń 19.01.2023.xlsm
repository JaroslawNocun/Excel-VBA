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STUDIA DYSK D\PROJEKTY\"/>
    </mc:Choice>
  </mc:AlternateContent>
  <xr:revisionPtr revIDLastSave="0" documentId="13_ncr:1_{265E1079-F183-42D0-9BA3-61D3713FB04C}" xr6:coauthVersionLast="47" xr6:coauthVersionMax="47" xr10:uidLastSave="{00000000-0000-0000-0000-000000000000}"/>
  <bookViews>
    <workbookView xWindow="-120" yWindow="-120" windowWidth="29040" windowHeight="15840" xr2:uid="{ECC5717D-F569-4CB0-A148-EC1F9E3839E3}"/>
  </bookViews>
  <sheets>
    <sheet name="Arkusz1" sheetId="1" r:id="rId1"/>
    <sheet name="Arkusz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D25" i="1"/>
  <c r="F25" i="1"/>
  <c r="F24" i="1" l="1"/>
  <c r="F26" i="1"/>
  <c r="F27" i="1"/>
  <c r="F28" i="1"/>
  <c r="F29" i="1"/>
  <c r="F30" i="1"/>
  <c r="F31" i="1"/>
  <c r="F32" i="1"/>
  <c r="F33" i="1"/>
  <c r="F34" i="1"/>
  <c r="E24" i="1"/>
  <c r="E25" i="1"/>
  <c r="E26" i="1"/>
  <c r="E27" i="1"/>
  <c r="E28" i="1"/>
  <c r="E29" i="1"/>
  <c r="E30" i="1"/>
  <c r="E31" i="1"/>
  <c r="E32" i="1"/>
  <c r="E33" i="1"/>
  <c r="E34" i="1"/>
  <c r="D24" i="1"/>
  <c r="F23" i="1"/>
  <c r="E23" i="1"/>
  <c r="D23" i="1"/>
  <c r="D26" i="1"/>
  <c r="D27" i="1"/>
  <c r="D28" i="1"/>
  <c r="D29" i="1"/>
  <c r="D30" i="1"/>
  <c r="D31" i="1"/>
  <c r="D32" i="1"/>
  <c r="D33" i="1"/>
  <c r="D34" i="1"/>
  <c r="E35" i="1" l="1"/>
  <c r="E10" i="2"/>
  <c r="E11" i="2"/>
  <c r="E2" i="2"/>
  <c r="D3" i="2"/>
  <c r="E3" i="2" s="1"/>
  <c r="D4" i="2"/>
  <c r="E4" i="2" s="1"/>
  <c r="D5" i="2"/>
  <c r="E5" i="2" s="1"/>
  <c r="D6" i="2"/>
  <c r="E6" i="2" s="1"/>
  <c r="D7" i="2"/>
  <c r="E7" i="2" s="1"/>
  <c r="D8" i="2"/>
  <c r="E8" i="2" s="1"/>
  <c r="D9" i="2"/>
  <c r="E9" i="2" s="1"/>
  <c r="D10" i="2"/>
  <c r="D11" i="2"/>
  <c r="D2" i="2"/>
</calcChain>
</file>

<file path=xl/sharedStrings.xml><?xml version="1.0" encoding="utf-8"?>
<sst xmlns="http://schemas.openxmlformats.org/spreadsheetml/2006/main" count="35" uniqueCount="32">
  <si>
    <t>Miejsce wystawienia:</t>
  </si>
  <si>
    <t>Data sprzedaży:</t>
  </si>
  <si>
    <t>Sposób zapłaty:</t>
  </si>
  <si>
    <t>Termin zapłaty:</t>
  </si>
  <si>
    <t>Nabywca:</t>
  </si>
  <si>
    <t>Nazwa</t>
  </si>
  <si>
    <t>Ilość</t>
  </si>
  <si>
    <t>Cena netto</t>
  </si>
  <si>
    <t>Kwota Vat</t>
  </si>
  <si>
    <t>Wartość brutto</t>
  </si>
  <si>
    <t>Razem:</t>
  </si>
  <si>
    <t>Wystawił:</t>
  </si>
  <si>
    <t>Odebrał:</t>
  </si>
  <si>
    <t>Nazwa produktu</t>
  </si>
  <si>
    <t>Kwota VAT</t>
  </si>
  <si>
    <t>Cena brutto</t>
  </si>
  <si>
    <t>Bułka</t>
  </si>
  <si>
    <t>Chleb</t>
  </si>
  <si>
    <t>Pierogi</t>
  </si>
  <si>
    <t>Woda</t>
  </si>
  <si>
    <t>Drożdżówka</t>
  </si>
  <si>
    <t>Rogalik</t>
  </si>
  <si>
    <t>Mleko</t>
  </si>
  <si>
    <t>Śmietana</t>
  </si>
  <si>
    <t>Data wystawienia:</t>
  </si>
  <si>
    <t>Id</t>
  </si>
  <si>
    <t>Masło</t>
  </si>
  <si>
    <t>Oryginał/kopia:</t>
  </si>
  <si>
    <t>Soczek</t>
  </si>
  <si>
    <t>Numer faktury VAT</t>
  </si>
  <si>
    <t>Sprzedawca:</t>
  </si>
  <si>
    <t xml:space="preserve"> /  /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</si>
</sst>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72"/>
      <color rgb="FFFF0000"/>
      <name val="Algerian"/>
      <family val="5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0" fontId="1" fillId="0" borderId="0" xfId="0" applyFont="1" applyAlignment="1">
      <alignment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0</xdr:row>
          <xdr:rowOff>114300</xdr:rowOff>
        </xdr:from>
        <xdr:to>
          <xdr:col>13</xdr:col>
          <xdr:colOff>9525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2</xdr:row>
          <xdr:rowOff>180975</xdr:rowOff>
        </xdr:from>
        <xdr:to>
          <xdr:col>13</xdr:col>
          <xdr:colOff>9525</xdr:colOff>
          <xdr:row>5</xdr:row>
          <xdr:rowOff>57150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5</xdr:row>
          <xdr:rowOff>66675</xdr:rowOff>
        </xdr:from>
        <xdr:to>
          <xdr:col>12</xdr:col>
          <xdr:colOff>600075</xdr:colOff>
          <xdr:row>7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produkt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7</xdr:row>
          <xdr:rowOff>171450</xdr:rowOff>
        </xdr:from>
        <xdr:to>
          <xdr:col>13</xdr:col>
          <xdr:colOff>0</xdr:colOff>
          <xdr:row>10</xdr:row>
          <xdr:rowOff>47625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Fakturę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B4FC4-9F08-42EC-8FD7-A52CF970CE59}">
  <sheetPr codeName="Arkusz1"/>
  <dimension ref="A1:Q42"/>
  <sheetViews>
    <sheetView tabSelected="1" zoomScaleNormal="100" workbookViewId="0">
      <selection activeCell="K22" sqref="K22"/>
    </sheetView>
  </sheetViews>
  <sheetFormatPr defaultRowHeight="15" x14ac:dyDescent="0.25"/>
  <cols>
    <col min="1" max="1" width="18.140625" bestFit="1" customWidth="1"/>
    <col min="2" max="2" width="8.42578125" bestFit="1" customWidth="1"/>
    <col min="3" max="3" width="5" bestFit="1" customWidth="1"/>
    <col min="4" max="4" width="10.7109375" bestFit="1" customWidth="1"/>
    <col min="5" max="5" width="10" bestFit="1" customWidth="1"/>
    <col min="6" max="6" width="20.28515625" bestFit="1" customWidth="1"/>
    <col min="7" max="7" width="10.85546875" bestFit="1" customWidth="1"/>
  </cols>
  <sheetData>
    <row r="1" spans="1:17" x14ac:dyDescent="0.25">
      <c r="A1" s="1" t="s">
        <v>29</v>
      </c>
      <c r="B1" s="1" t="s">
        <v>31</v>
      </c>
      <c r="C1" s="1"/>
      <c r="D1" s="1"/>
      <c r="E1" s="1"/>
      <c r="F1" s="1"/>
      <c r="G1" s="1"/>
      <c r="H1" s="1"/>
      <c r="I1" s="1"/>
    </row>
    <row r="2" spans="1:17" x14ac:dyDescent="0.25">
      <c r="A2" s="1" t="s">
        <v>29</v>
      </c>
      <c r="B2">
        <v>10</v>
      </c>
    </row>
    <row r="3" spans="1:17" x14ac:dyDescent="0.25">
      <c r="A3" s="1" t="s">
        <v>27</v>
      </c>
      <c r="F3" s="1" t="s">
        <v>0</v>
      </c>
    </row>
    <row r="5" spans="1:17" x14ac:dyDescent="0.25">
      <c r="F5" s="1" t="s">
        <v>1</v>
      </c>
      <c r="G5" s="2"/>
    </row>
    <row r="6" spans="1:17" x14ac:dyDescent="0.25">
      <c r="F6" s="1" t="s">
        <v>24</v>
      </c>
      <c r="G6" s="2"/>
    </row>
    <row r="8" spans="1:17" x14ac:dyDescent="0.25">
      <c r="F8" s="1" t="s">
        <v>2</v>
      </c>
    </row>
    <row r="9" spans="1:17" ht="15" customHeight="1" x14ac:dyDescent="0.25">
      <c r="F9" s="1" t="s">
        <v>3</v>
      </c>
      <c r="G9" s="2"/>
      <c r="L9" s="3"/>
      <c r="M9" s="3"/>
      <c r="N9" s="3"/>
      <c r="O9" s="3"/>
      <c r="P9" s="3"/>
      <c r="Q9" s="3"/>
    </row>
    <row r="10" spans="1:17" ht="15" customHeight="1" x14ac:dyDescent="0.25">
      <c r="L10" s="3"/>
      <c r="M10" s="3"/>
      <c r="N10" s="3"/>
      <c r="O10" s="3"/>
      <c r="P10" s="3"/>
      <c r="Q10" s="3"/>
    </row>
    <row r="11" spans="1:17" ht="15" customHeight="1" x14ac:dyDescent="0.25">
      <c r="L11" s="3"/>
      <c r="M11" s="3"/>
      <c r="N11" s="3"/>
      <c r="O11" s="3"/>
      <c r="P11" s="3"/>
      <c r="Q11" s="3"/>
    </row>
    <row r="12" spans="1:17" ht="15" customHeight="1" x14ac:dyDescent="0.25">
      <c r="A12" s="1" t="s">
        <v>30</v>
      </c>
      <c r="C12" s="1"/>
      <c r="E12" s="1" t="s">
        <v>4</v>
      </c>
      <c r="G12" s="1"/>
      <c r="H12" s="1"/>
      <c r="I12" s="1"/>
      <c r="L12" s="3"/>
      <c r="M12" s="3"/>
      <c r="N12" s="3"/>
      <c r="O12" s="3"/>
      <c r="P12" s="3"/>
      <c r="Q12" s="3"/>
    </row>
    <row r="13" spans="1:17" ht="15" customHeight="1" x14ac:dyDescent="0.25">
      <c r="L13" s="3"/>
      <c r="M13" s="3"/>
      <c r="N13" s="3"/>
      <c r="O13" s="3"/>
      <c r="P13" s="3"/>
      <c r="Q13" s="3"/>
    </row>
    <row r="14" spans="1:17" ht="15" customHeight="1" x14ac:dyDescent="0.25">
      <c r="L14" s="3"/>
      <c r="M14" s="3"/>
      <c r="N14" s="3"/>
      <c r="O14" s="3"/>
      <c r="P14" s="3"/>
      <c r="Q14" s="3"/>
    </row>
    <row r="22" spans="1:9" x14ac:dyDescent="0.25">
      <c r="A22" s="1"/>
      <c r="B22" s="1" t="s">
        <v>5</v>
      </c>
      <c r="C22" s="1" t="s">
        <v>6</v>
      </c>
      <c r="D22" s="1" t="s">
        <v>7</v>
      </c>
      <c r="E22" s="1" t="s">
        <v>8</v>
      </c>
      <c r="F22" s="1" t="s">
        <v>9</v>
      </c>
      <c r="G22" s="1"/>
      <c r="H22" s="1"/>
      <c r="I22" s="1"/>
    </row>
    <row r="23" spans="1:9" x14ac:dyDescent="0.25">
      <c r="D23" t="str">
        <f>IF(C23="","",SUMIF(Arkusz2!$B$2:$B$11,B23,Arkusz2!$C$2:$C$11)*C23)</f>
        <v/>
      </c>
      <c r="E23" t="str">
        <f>IF(C23="","",SUMIF(Arkusz2!$B$2:$B$11,B23,Arkusz2!$D$2:$D$11)*C23)</f>
        <v/>
      </c>
      <c r="F23" t="str">
        <f>IF(C23="","",SUMIF(Arkusz2!$B$2:$B$11,B23,Arkusz2!$E$2:$E$11)*C23)</f>
        <v/>
      </c>
    </row>
    <row r="24" spans="1:9" x14ac:dyDescent="0.25">
      <c r="D24" t="str">
        <f>IF(C24="","",SUMIF(Arkusz2!$B$2:$B$11,B24,Arkusz2!$C$2:$C$11)*C24)</f>
        <v/>
      </c>
      <c r="E24" t="str">
        <f>IF(C24="","",SUMIF(Arkusz2!$B$2:$B$11,B24,Arkusz2!$D$2:$D$11)*C24)</f>
        <v/>
      </c>
      <c r="F24" t="str">
        <f>IF(C24="","",SUMIF(Arkusz2!$B$2:$B$11,B24,Arkusz2!$E$2:$E$11)*C24)</f>
        <v/>
      </c>
    </row>
    <row r="25" spans="1:9" x14ac:dyDescent="0.25">
      <c r="D25" t="str">
        <f>IF(C25="","",SUMIF(Arkusz2!$B$2:$B$11,B25,Arkusz2!$C$2:$C$11)*C25)</f>
        <v/>
      </c>
      <c r="E25" t="str">
        <f>IF(C25="","",SUMIF(Arkusz2!$B$2:$B$11,B25,Arkusz2!$D$2:$D$11)*C25)</f>
        <v/>
      </c>
      <c r="F25" t="str">
        <f>IF(C25="","",SUMIF(Arkusz2!$B$2:$B$11,B25,Arkusz2!$E$2:$E$11)*C25)</f>
        <v/>
      </c>
    </row>
    <row r="26" spans="1:9" x14ac:dyDescent="0.25">
      <c r="D26" t="str">
        <f>IF(C26="","",SUMIF(Arkusz2!$B$2:$B$11,B26,Arkusz2!$C$2:$C$11)*C26)</f>
        <v/>
      </c>
      <c r="E26" t="str">
        <f>IF(C26="","",SUMIF(Arkusz2!$B$2:$B$11,B26,Arkusz2!$D$2:$D$11)*C26)</f>
        <v/>
      </c>
      <c r="F26" t="str">
        <f>IF(C26="","",SUMIF(Arkusz2!$B$2:$B$11,B26,Arkusz2!$E$2:$E$11)*C26)</f>
        <v/>
      </c>
    </row>
    <row r="27" spans="1:9" x14ac:dyDescent="0.25">
      <c r="D27" t="str">
        <f>IF(C27="","",SUMIF(Arkusz2!$B$2:$B$11,B27,Arkusz2!$C$2:$C$11)*C27)</f>
        <v/>
      </c>
      <c r="E27" t="str">
        <f>IF(C27="","",SUMIF(Arkusz2!$B$2:$B$11,B27,Arkusz2!$D$2:$D$11)*C27)</f>
        <v/>
      </c>
      <c r="F27" t="str">
        <f>IF(C27="","",SUMIF(Arkusz2!$B$2:$B$11,B27,Arkusz2!$E$2:$E$11)*C27)</f>
        <v/>
      </c>
    </row>
    <row r="28" spans="1:9" x14ac:dyDescent="0.25">
      <c r="D28" t="str">
        <f>IF(C28="","",SUMIF(Arkusz2!$B$2:$B$11,B28,Arkusz2!$C$2:$C$11)*C28)</f>
        <v/>
      </c>
      <c r="E28" t="str">
        <f>IF(C28="","",SUMIF(Arkusz2!$B$2:$B$11,B28,Arkusz2!$D$2:$D$11)*C28)</f>
        <v/>
      </c>
      <c r="F28" t="str">
        <f>IF(C28="","",SUMIF(Arkusz2!$B$2:$B$11,B28,Arkusz2!$E$2:$E$11)*C28)</f>
        <v/>
      </c>
    </row>
    <row r="29" spans="1:9" x14ac:dyDescent="0.25">
      <c r="D29" t="str">
        <f>IF(C29="","",SUMIF(Arkusz2!$B$2:$B$11,B29,Arkusz2!$C$2:$C$11)*C29)</f>
        <v/>
      </c>
      <c r="E29" t="str">
        <f>IF(C29="","",SUMIF(Arkusz2!$B$2:$B$11,B29,Arkusz2!$D$2:$D$11)*C29)</f>
        <v/>
      </c>
      <c r="F29" t="str">
        <f>IF(C29="","",SUMIF(Arkusz2!$B$2:$B$11,B29,Arkusz2!$E$2:$E$11)*C29)</f>
        <v/>
      </c>
    </row>
    <row r="30" spans="1:9" x14ac:dyDescent="0.25">
      <c r="D30" t="str">
        <f>IF(C30="","",SUMIF(Arkusz2!$B$2:$B$11,B30,Arkusz2!$C$2:$C$11)*C30)</f>
        <v/>
      </c>
      <c r="E30" t="str">
        <f>IF(C30="","",SUMIF(Arkusz2!$B$2:$B$11,B30,Arkusz2!$D$2:$D$11)*C30)</f>
        <v/>
      </c>
      <c r="F30" t="str">
        <f>IF(C30="","",SUMIF(Arkusz2!$B$2:$B$11,B30,Arkusz2!$E$2:$E$11)*C30)</f>
        <v/>
      </c>
    </row>
    <row r="31" spans="1:9" x14ac:dyDescent="0.25">
      <c r="D31" t="str">
        <f>IF(C31="","",SUMIF(Arkusz2!$B$2:$B$11,B31,Arkusz2!$C$2:$C$11)*C31)</f>
        <v/>
      </c>
      <c r="E31" t="str">
        <f>IF(C31="","",SUMIF(Arkusz2!$B$2:$B$11,B31,Arkusz2!$D$2:$D$11)*C31)</f>
        <v/>
      </c>
      <c r="F31" t="str">
        <f>IF(C31="","",SUMIF(Arkusz2!$B$2:$B$11,B31,Arkusz2!$E$2:$E$11)*C31)</f>
        <v/>
      </c>
    </row>
    <row r="32" spans="1:9" x14ac:dyDescent="0.25">
      <c r="D32" t="str">
        <f>IF(C32="","",SUMIF(Arkusz2!$B$2:$B$11,B32,Arkusz2!$C$2:$C$11)*C32)</f>
        <v/>
      </c>
      <c r="E32" t="str">
        <f>IF(C32="","",SUMIF(Arkusz2!$B$2:$B$11,B32,Arkusz2!$D$2:$D$11)*C32)</f>
        <v/>
      </c>
      <c r="F32" t="str">
        <f>IF(C32="","",SUMIF(Arkusz2!$B$2:$B$11,B32,Arkusz2!$E$2:$E$11)*C32)</f>
        <v/>
      </c>
    </row>
    <row r="33" spans="1:9" x14ac:dyDescent="0.25">
      <c r="D33" t="str">
        <f>IF(C33="","",SUMIF(Arkusz2!$B$2:$B$11,B33,Arkusz2!$C$2:$C$11)*C33)</f>
        <v/>
      </c>
      <c r="E33" t="str">
        <f>IF(C33="","",SUMIF(Arkusz2!$B$2:$B$11,B33,Arkusz2!$D$2:$D$11)*C33)</f>
        <v/>
      </c>
      <c r="F33" t="str">
        <f>IF(C33="","",SUMIF(Arkusz2!$B$2:$B$11,B33,Arkusz2!$E$2:$E$11)*C33)</f>
        <v/>
      </c>
    </row>
    <row r="34" spans="1:9" x14ac:dyDescent="0.25">
      <c r="D34" t="str">
        <f>IF(C34="","",SUMIF(Arkusz2!$B$2:$B$11,B34,Arkusz2!$C$2:$C$11)*C34)</f>
        <v/>
      </c>
      <c r="E34" t="str">
        <f>IF(C34="","",SUMIF(Arkusz2!$B$2:$B$11,B34,Arkusz2!$D$2:$D$11)*C34)</f>
        <v/>
      </c>
      <c r="F34" t="str">
        <f>IF(C34="","",SUMIF(Arkusz2!$B$2:$B$11,B34,Arkusz2!$E$2:$E$11)*C34)</f>
        <v/>
      </c>
    </row>
    <row r="35" spans="1:9" x14ac:dyDescent="0.25">
      <c r="A35" s="1"/>
      <c r="B35" s="1"/>
      <c r="C35" s="1"/>
      <c r="D35" s="1" t="s">
        <v>10</v>
      </c>
      <c r="E35" s="1">
        <f>SUM(F23:F34)</f>
        <v>0</v>
      </c>
      <c r="F35" s="1"/>
      <c r="G35" s="1"/>
      <c r="H35" s="1"/>
      <c r="I35" s="1"/>
    </row>
    <row r="42" spans="1:9" x14ac:dyDescent="0.25">
      <c r="A42" s="1" t="s">
        <v>11</v>
      </c>
      <c r="C42" s="1"/>
      <c r="E42" s="1" t="s">
        <v>12</v>
      </c>
      <c r="G42" s="1"/>
      <c r="H42" s="1"/>
      <c r="I42" s="1"/>
    </row>
  </sheetData>
  <dataValidations count="5">
    <dataValidation type="date" allowBlank="1" showInputMessage="1" showErrorMessage="1" sqref="G5" xr:uid="{21805D2D-6656-4DA9-BF33-3740931DBEE7}">
      <formula1>44889</formula1>
      <formula2>55134</formula2>
    </dataValidation>
    <dataValidation type="date" allowBlank="1" showInputMessage="1" showErrorMessage="1" sqref="G6 G9" xr:uid="{772009ED-1F0A-434C-AED4-51C2500E9C31}">
      <formula1>44896</formula1>
      <formula2>402114</formula2>
    </dataValidation>
    <dataValidation type="list" allowBlank="1" showInputMessage="1" showErrorMessage="1" sqref="G8" xr:uid="{B6976019-521C-4FFE-BF33-8B2DF1E950B3}">
      <formula1>"Gotówka,Przelew"</formula1>
    </dataValidation>
    <dataValidation type="list" allowBlank="1" showInputMessage="1" showErrorMessage="1" sqref="B3" xr:uid="{3DE0A1E7-1A7D-4DB6-947C-F1CCDE693422}">
      <formula1>"Oryginał,Kopia"</formula1>
    </dataValidation>
    <dataValidation type="whole" allowBlank="1" showInputMessage="1" showErrorMessage="1" sqref="C23:C34" xr:uid="{8D9D2174-E36A-4529-83A1-86BA87F7C78F}">
      <formula1>1</formula1>
      <formula2>1000</formula2>
    </dataValidation>
  </dataValidation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9</xdr:col>
                <xdr:colOff>600075</xdr:colOff>
                <xdr:row>2</xdr:row>
                <xdr:rowOff>180975</xdr:rowOff>
              </from>
              <to>
                <xdr:col>13</xdr:col>
                <xdr:colOff>9525</xdr:colOff>
                <xdr:row>5</xdr:row>
                <xdr:rowOff>57150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9</xdr:col>
                <xdr:colOff>600075</xdr:colOff>
                <xdr:row>0</xdr:row>
                <xdr:rowOff>114300</xdr:rowOff>
              </from>
              <to>
                <xdr:col>13</xdr:col>
                <xdr:colOff>9525</xdr:colOff>
                <xdr:row>2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46" r:id="rId8" name="Button 22">
          <controlPr defaultSize="0" print="0" autoFill="0" autoPict="0" macro="[0]!show_form6">
            <anchor moveWithCells="1" sizeWithCells="1">
              <from>
                <xdr:col>9</xdr:col>
                <xdr:colOff>590550</xdr:colOff>
                <xdr:row>5</xdr:row>
                <xdr:rowOff>66675</xdr:rowOff>
              </from>
              <to>
                <xdr:col>12</xdr:col>
                <xdr:colOff>600075</xdr:colOff>
                <xdr:row>7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9" name="Button 26">
          <controlPr defaultSize="0" print="0" autoFill="0" autoPict="0" macro="[0]!Kopiowanie">
            <anchor moveWithCells="1" sizeWithCells="1">
              <from>
                <xdr:col>9</xdr:col>
                <xdr:colOff>581025</xdr:colOff>
                <xdr:row>7</xdr:row>
                <xdr:rowOff>171450</xdr:rowOff>
              </from>
              <to>
                <xdr:col>13</xdr:col>
                <xdr:colOff>0</xdr:colOff>
                <xdr:row>10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4021FA-1BE5-49F1-8A5A-27E910C7BD31}">
          <x14:formula1>
            <xm:f>Arkusz2!$B$2:$B$11</xm:f>
          </x14:formula1>
          <xm:sqref>B23 B24:B34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6EDB2-798D-43FD-AB77-CA143F90F953}">
  <sheetPr codeName="Arkusz2"/>
  <dimension ref="A1:F101"/>
  <sheetViews>
    <sheetView workbookViewId="0">
      <selection activeCell="E27" sqref="E27"/>
    </sheetView>
  </sheetViews>
  <sheetFormatPr defaultRowHeight="15" x14ac:dyDescent="0.25"/>
  <cols>
    <col min="2" max="2" width="15.5703125" bestFit="1" customWidth="1"/>
    <col min="3" max="3" width="10.7109375" bestFit="1" customWidth="1"/>
    <col min="4" max="4" width="10.5703125" bestFit="1" customWidth="1"/>
    <col min="5" max="5" width="11.42578125" bestFit="1" customWidth="1"/>
  </cols>
  <sheetData>
    <row r="1" spans="1:6" x14ac:dyDescent="0.25">
      <c r="A1" t="s">
        <v>25</v>
      </c>
      <c r="B1" t="s">
        <v>13</v>
      </c>
      <c r="C1" t="s">
        <v>7</v>
      </c>
      <c r="D1" t="s">
        <v>14</v>
      </c>
      <c r="E1" t="s">
        <v>15</v>
      </c>
      <c r="F1" t="s">
        <v>6</v>
      </c>
    </row>
    <row r="2" spans="1:6" x14ac:dyDescent="0.25">
      <c r="A2">
        <v>1</v>
      </c>
      <c r="B2" t="s">
        <v>16</v>
      </c>
      <c r="C2">
        <v>2</v>
      </c>
      <c r="D2">
        <f>0.23*C2</f>
        <v>0.46</v>
      </c>
      <c r="E2">
        <f>C2+D2</f>
        <v>2.46</v>
      </c>
      <c r="F2">
        <v>1</v>
      </c>
    </row>
    <row r="3" spans="1:6" x14ac:dyDescent="0.25">
      <c r="A3">
        <v>2</v>
      </c>
      <c r="B3" t="s">
        <v>26</v>
      </c>
      <c r="C3">
        <v>9</v>
      </c>
      <c r="D3">
        <f t="shared" ref="D3:D11" si="0">0.23*C3</f>
        <v>2.0700000000000003</v>
      </c>
      <c r="E3">
        <f t="shared" ref="E3:E11" si="1">C3+D3</f>
        <v>11.07</v>
      </c>
      <c r="F3">
        <f>F2+1</f>
        <v>2</v>
      </c>
    </row>
    <row r="4" spans="1:6" x14ac:dyDescent="0.25">
      <c r="A4">
        <v>3</v>
      </c>
      <c r="B4" t="s">
        <v>17</v>
      </c>
      <c r="C4">
        <v>6</v>
      </c>
      <c r="D4">
        <f t="shared" si="0"/>
        <v>1.3800000000000001</v>
      </c>
      <c r="E4">
        <f t="shared" si="1"/>
        <v>7.38</v>
      </c>
      <c r="F4">
        <f t="shared" ref="F4:F67" si="2">F3+1</f>
        <v>3</v>
      </c>
    </row>
    <row r="5" spans="1:6" x14ac:dyDescent="0.25">
      <c r="A5">
        <v>4</v>
      </c>
      <c r="B5" t="s">
        <v>18</v>
      </c>
      <c r="C5">
        <v>15</v>
      </c>
      <c r="D5">
        <f t="shared" si="0"/>
        <v>3.45</v>
      </c>
      <c r="E5">
        <f t="shared" si="1"/>
        <v>18.45</v>
      </c>
      <c r="F5">
        <f t="shared" si="2"/>
        <v>4</v>
      </c>
    </row>
    <row r="6" spans="1:6" x14ac:dyDescent="0.25">
      <c r="A6">
        <v>5</v>
      </c>
      <c r="B6" t="s">
        <v>28</v>
      </c>
      <c r="C6">
        <v>6</v>
      </c>
      <c r="D6">
        <f t="shared" si="0"/>
        <v>1.3800000000000001</v>
      </c>
      <c r="E6">
        <f t="shared" si="1"/>
        <v>7.38</v>
      </c>
      <c r="F6">
        <f t="shared" si="2"/>
        <v>5</v>
      </c>
    </row>
    <row r="7" spans="1:6" x14ac:dyDescent="0.25">
      <c r="A7">
        <v>6</v>
      </c>
      <c r="B7" t="s">
        <v>19</v>
      </c>
      <c r="C7">
        <v>4</v>
      </c>
      <c r="D7">
        <f t="shared" si="0"/>
        <v>0.92</v>
      </c>
      <c r="E7">
        <f t="shared" si="1"/>
        <v>4.92</v>
      </c>
      <c r="F7">
        <f t="shared" si="2"/>
        <v>6</v>
      </c>
    </row>
    <row r="8" spans="1:6" x14ac:dyDescent="0.25">
      <c r="A8">
        <v>7</v>
      </c>
      <c r="B8" t="s">
        <v>20</v>
      </c>
      <c r="C8">
        <v>5</v>
      </c>
      <c r="D8">
        <f t="shared" si="0"/>
        <v>1.1500000000000001</v>
      </c>
      <c r="E8">
        <f t="shared" si="1"/>
        <v>6.15</v>
      </c>
      <c r="F8">
        <f t="shared" si="2"/>
        <v>7</v>
      </c>
    </row>
    <row r="9" spans="1:6" x14ac:dyDescent="0.25">
      <c r="A9">
        <v>8</v>
      </c>
      <c r="B9" t="s">
        <v>21</v>
      </c>
      <c r="C9">
        <v>7</v>
      </c>
      <c r="D9">
        <f t="shared" si="0"/>
        <v>1.61</v>
      </c>
      <c r="E9">
        <f t="shared" si="1"/>
        <v>8.61</v>
      </c>
      <c r="F9">
        <f t="shared" si="2"/>
        <v>8</v>
      </c>
    </row>
    <row r="10" spans="1:6" x14ac:dyDescent="0.25">
      <c r="A10">
        <v>9</v>
      </c>
      <c r="B10" t="s">
        <v>22</v>
      </c>
      <c r="C10">
        <v>4</v>
      </c>
      <c r="D10">
        <f t="shared" si="0"/>
        <v>0.92</v>
      </c>
      <c r="E10">
        <f t="shared" si="1"/>
        <v>4.92</v>
      </c>
      <c r="F10">
        <f t="shared" si="2"/>
        <v>9</v>
      </c>
    </row>
    <row r="11" spans="1:6" x14ac:dyDescent="0.25">
      <c r="A11">
        <v>10</v>
      </c>
      <c r="B11" t="s">
        <v>23</v>
      </c>
      <c r="C11">
        <v>8</v>
      </c>
      <c r="D11">
        <f t="shared" si="0"/>
        <v>1.84</v>
      </c>
      <c r="E11">
        <f t="shared" si="1"/>
        <v>9.84</v>
      </c>
      <c r="F11">
        <f t="shared" si="2"/>
        <v>10</v>
      </c>
    </row>
    <row r="12" spans="1:6" x14ac:dyDescent="0.25">
      <c r="F12">
        <f t="shared" si="2"/>
        <v>11</v>
      </c>
    </row>
    <row r="13" spans="1:6" x14ac:dyDescent="0.25">
      <c r="F13">
        <f t="shared" si="2"/>
        <v>12</v>
      </c>
    </row>
    <row r="14" spans="1:6" x14ac:dyDescent="0.25">
      <c r="F14">
        <f t="shared" si="2"/>
        <v>13</v>
      </c>
    </row>
    <row r="15" spans="1:6" x14ac:dyDescent="0.25">
      <c r="F15">
        <f t="shared" si="2"/>
        <v>14</v>
      </c>
    </row>
    <row r="16" spans="1:6" x14ac:dyDescent="0.25">
      <c r="F16">
        <f t="shared" si="2"/>
        <v>15</v>
      </c>
    </row>
    <row r="17" spans="6:6" x14ac:dyDescent="0.25">
      <c r="F17">
        <f t="shared" si="2"/>
        <v>16</v>
      </c>
    </row>
    <row r="18" spans="6:6" x14ac:dyDescent="0.25">
      <c r="F18">
        <f t="shared" si="2"/>
        <v>17</v>
      </c>
    </row>
    <row r="19" spans="6:6" x14ac:dyDescent="0.25">
      <c r="F19">
        <f t="shared" si="2"/>
        <v>18</v>
      </c>
    </row>
    <row r="20" spans="6:6" x14ac:dyDescent="0.25">
      <c r="F20">
        <f t="shared" si="2"/>
        <v>19</v>
      </c>
    </row>
    <row r="21" spans="6:6" x14ac:dyDescent="0.25">
      <c r="F21">
        <f t="shared" si="2"/>
        <v>20</v>
      </c>
    </row>
    <row r="22" spans="6:6" x14ac:dyDescent="0.25">
      <c r="F22">
        <f t="shared" si="2"/>
        <v>21</v>
      </c>
    </row>
    <row r="23" spans="6:6" x14ac:dyDescent="0.25">
      <c r="F23">
        <f t="shared" si="2"/>
        <v>22</v>
      </c>
    </row>
    <row r="24" spans="6:6" x14ac:dyDescent="0.25">
      <c r="F24">
        <f t="shared" si="2"/>
        <v>23</v>
      </c>
    </row>
    <row r="25" spans="6:6" x14ac:dyDescent="0.25">
      <c r="F25">
        <f t="shared" si="2"/>
        <v>24</v>
      </c>
    </row>
    <row r="26" spans="6:6" x14ac:dyDescent="0.25">
      <c r="F26">
        <f t="shared" si="2"/>
        <v>25</v>
      </c>
    </row>
    <row r="27" spans="6:6" x14ac:dyDescent="0.25">
      <c r="F27">
        <f t="shared" si="2"/>
        <v>26</v>
      </c>
    </row>
    <row r="28" spans="6:6" x14ac:dyDescent="0.25">
      <c r="F28">
        <f t="shared" si="2"/>
        <v>27</v>
      </c>
    </row>
    <row r="29" spans="6:6" x14ac:dyDescent="0.25">
      <c r="F29">
        <f t="shared" si="2"/>
        <v>28</v>
      </c>
    </row>
    <row r="30" spans="6:6" x14ac:dyDescent="0.25">
      <c r="F30">
        <f t="shared" si="2"/>
        <v>29</v>
      </c>
    </row>
    <row r="31" spans="6:6" x14ac:dyDescent="0.25">
      <c r="F31">
        <f t="shared" si="2"/>
        <v>30</v>
      </c>
    </row>
    <row r="32" spans="6:6" x14ac:dyDescent="0.25">
      <c r="F32">
        <f t="shared" si="2"/>
        <v>31</v>
      </c>
    </row>
    <row r="33" spans="6:6" x14ac:dyDescent="0.25">
      <c r="F33">
        <f t="shared" si="2"/>
        <v>32</v>
      </c>
    </row>
    <row r="34" spans="6:6" x14ac:dyDescent="0.25">
      <c r="F34">
        <f t="shared" si="2"/>
        <v>33</v>
      </c>
    </row>
    <row r="35" spans="6:6" x14ac:dyDescent="0.25">
      <c r="F35">
        <f t="shared" si="2"/>
        <v>34</v>
      </c>
    </row>
    <row r="36" spans="6:6" x14ac:dyDescent="0.25">
      <c r="F36">
        <f t="shared" si="2"/>
        <v>35</v>
      </c>
    </row>
    <row r="37" spans="6:6" x14ac:dyDescent="0.25">
      <c r="F37">
        <f t="shared" si="2"/>
        <v>36</v>
      </c>
    </row>
    <row r="38" spans="6:6" x14ac:dyDescent="0.25">
      <c r="F38">
        <f t="shared" si="2"/>
        <v>37</v>
      </c>
    </row>
    <row r="39" spans="6:6" x14ac:dyDescent="0.25">
      <c r="F39">
        <f t="shared" si="2"/>
        <v>38</v>
      </c>
    </row>
    <row r="40" spans="6:6" x14ac:dyDescent="0.25">
      <c r="F40">
        <f t="shared" si="2"/>
        <v>39</v>
      </c>
    </row>
    <row r="41" spans="6:6" x14ac:dyDescent="0.25">
      <c r="F41">
        <f t="shared" si="2"/>
        <v>40</v>
      </c>
    </row>
    <row r="42" spans="6:6" x14ac:dyDescent="0.25">
      <c r="F42">
        <f t="shared" si="2"/>
        <v>41</v>
      </c>
    </row>
    <row r="43" spans="6:6" x14ac:dyDescent="0.25">
      <c r="F43">
        <f t="shared" si="2"/>
        <v>42</v>
      </c>
    </row>
    <row r="44" spans="6:6" x14ac:dyDescent="0.25">
      <c r="F44">
        <f t="shared" si="2"/>
        <v>43</v>
      </c>
    </row>
    <row r="45" spans="6:6" x14ac:dyDescent="0.25">
      <c r="F45">
        <f t="shared" si="2"/>
        <v>44</v>
      </c>
    </row>
    <row r="46" spans="6:6" x14ac:dyDescent="0.25">
      <c r="F46">
        <f t="shared" si="2"/>
        <v>45</v>
      </c>
    </row>
    <row r="47" spans="6:6" x14ac:dyDescent="0.25">
      <c r="F47">
        <f t="shared" si="2"/>
        <v>46</v>
      </c>
    </row>
    <row r="48" spans="6:6" x14ac:dyDescent="0.25">
      <c r="F48">
        <f t="shared" si="2"/>
        <v>47</v>
      </c>
    </row>
    <row r="49" spans="6:6" x14ac:dyDescent="0.25">
      <c r="F49">
        <f t="shared" si="2"/>
        <v>48</v>
      </c>
    </row>
    <row r="50" spans="6:6" x14ac:dyDescent="0.25">
      <c r="F50">
        <f t="shared" si="2"/>
        <v>49</v>
      </c>
    </row>
    <row r="51" spans="6:6" x14ac:dyDescent="0.25">
      <c r="F51">
        <f t="shared" si="2"/>
        <v>50</v>
      </c>
    </row>
    <row r="52" spans="6:6" x14ac:dyDescent="0.25">
      <c r="F52">
        <f t="shared" si="2"/>
        <v>51</v>
      </c>
    </row>
    <row r="53" spans="6:6" x14ac:dyDescent="0.25">
      <c r="F53">
        <f t="shared" si="2"/>
        <v>52</v>
      </c>
    </row>
    <row r="54" spans="6:6" x14ac:dyDescent="0.25">
      <c r="F54">
        <f t="shared" si="2"/>
        <v>53</v>
      </c>
    </row>
    <row r="55" spans="6:6" x14ac:dyDescent="0.25">
      <c r="F55">
        <f t="shared" si="2"/>
        <v>54</v>
      </c>
    </row>
    <row r="56" spans="6:6" x14ac:dyDescent="0.25">
      <c r="F56">
        <f t="shared" si="2"/>
        <v>55</v>
      </c>
    </row>
    <row r="57" spans="6:6" x14ac:dyDescent="0.25">
      <c r="F57">
        <f t="shared" si="2"/>
        <v>56</v>
      </c>
    </row>
    <row r="58" spans="6:6" x14ac:dyDescent="0.25">
      <c r="F58">
        <f t="shared" si="2"/>
        <v>57</v>
      </c>
    </row>
    <row r="59" spans="6:6" x14ac:dyDescent="0.25">
      <c r="F59">
        <f t="shared" si="2"/>
        <v>58</v>
      </c>
    </row>
    <row r="60" spans="6:6" x14ac:dyDescent="0.25">
      <c r="F60">
        <f t="shared" si="2"/>
        <v>59</v>
      </c>
    </row>
    <row r="61" spans="6:6" x14ac:dyDescent="0.25">
      <c r="F61">
        <f t="shared" si="2"/>
        <v>60</v>
      </c>
    </row>
    <row r="62" spans="6:6" x14ac:dyDescent="0.25">
      <c r="F62">
        <f t="shared" si="2"/>
        <v>61</v>
      </c>
    </row>
    <row r="63" spans="6:6" x14ac:dyDescent="0.25">
      <c r="F63">
        <f t="shared" si="2"/>
        <v>62</v>
      </c>
    </row>
    <row r="64" spans="6:6" x14ac:dyDescent="0.25">
      <c r="F64">
        <f t="shared" si="2"/>
        <v>63</v>
      </c>
    </row>
    <row r="65" spans="6:6" x14ac:dyDescent="0.25">
      <c r="F65">
        <f t="shared" si="2"/>
        <v>64</v>
      </c>
    </row>
    <row r="66" spans="6:6" x14ac:dyDescent="0.25">
      <c r="F66">
        <f t="shared" si="2"/>
        <v>65</v>
      </c>
    </row>
    <row r="67" spans="6:6" x14ac:dyDescent="0.25">
      <c r="F67">
        <f t="shared" si="2"/>
        <v>66</v>
      </c>
    </row>
    <row r="68" spans="6:6" x14ac:dyDescent="0.25">
      <c r="F68">
        <f t="shared" ref="F68:F100" si="3">F67+1</f>
        <v>67</v>
      </c>
    </row>
    <row r="69" spans="6:6" x14ac:dyDescent="0.25">
      <c r="F69">
        <f t="shared" si="3"/>
        <v>68</v>
      </c>
    </row>
    <row r="70" spans="6:6" x14ac:dyDescent="0.25">
      <c r="F70">
        <f t="shared" si="3"/>
        <v>69</v>
      </c>
    </row>
    <row r="71" spans="6:6" x14ac:dyDescent="0.25">
      <c r="F71">
        <f t="shared" si="3"/>
        <v>70</v>
      </c>
    </row>
    <row r="72" spans="6:6" x14ac:dyDescent="0.25">
      <c r="F72">
        <f t="shared" si="3"/>
        <v>71</v>
      </c>
    </row>
    <row r="73" spans="6:6" x14ac:dyDescent="0.25">
      <c r="F73">
        <f t="shared" si="3"/>
        <v>72</v>
      </c>
    </row>
    <row r="74" spans="6:6" x14ac:dyDescent="0.25">
      <c r="F74">
        <f t="shared" si="3"/>
        <v>73</v>
      </c>
    </row>
    <row r="75" spans="6:6" x14ac:dyDescent="0.25">
      <c r="F75">
        <f t="shared" si="3"/>
        <v>74</v>
      </c>
    </row>
    <row r="76" spans="6:6" x14ac:dyDescent="0.25">
      <c r="F76">
        <f t="shared" si="3"/>
        <v>75</v>
      </c>
    </row>
    <row r="77" spans="6:6" x14ac:dyDescent="0.25">
      <c r="F77">
        <f t="shared" si="3"/>
        <v>76</v>
      </c>
    </row>
    <row r="78" spans="6:6" x14ac:dyDescent="0.25">
      <c r="F78">
        <f t="shared" si="3"/>
        <v>77</v>
      </c>
    </row>
    <row r="79" spans="6:6" x14ac:dyDescent="0.25">
      <c r="F79">
        <f t="shared" si="3"/>
        <v>78</v>
      </c>
    </row>
    <row r="80" spans="6:6" x14ac:dyDescent="0.25">
      <c r="F80">
        <f t="shared" si="3"/>
        <v>79</v>
      </c>
    </row>
    <row r="81" spans="6:6" x14ac:dyDescent="0.25">
      <c r="F81">
        <f t="shared" si="3"/>
        <v>80</v>
      </c>
    </row>
    <row r="82" spans="6:6" x14ac:dyDescent="0.25">
      <c r="F82">
        <f t="shared" si="3"/>
        <v>81</v>
      </c>
    </row>
    <row r="83" spans="6:6" x14ac:dyDescent="0.25">
      <c r="F83">
        <f t="shared" si="3"/>
        <v>82</v>
      </c>
    </row>
    <row r="84" spans="6:6" x14ac:dyDescent="0.25">
      <c r="F84">
        <f t="shared" si="3"/>
        <v>83</v>
      </c>
    </row>
    <row r="85" spans="6:6" x14ac:dyDescent="0.25">
      <c r="F85">
        <f t="shared" si="3"/>
        <v>84</v>
      </c>
    </row>
    <row r="86" spans="6:6" x14ac:dyDescent="0.25">
      <c r="F86">
        <f t="shared" si="3"/>
        <v>85</v>
      </c>
    </row>
    <row r="87" spans="6:6" x14ac:dyDescent="0.25">
      <c r="F87">
        <f t="shared" si="3"/>
        <v>86</v>
      </c>
    </row>
    <row r="88" spans="6:6" x14ac:dyDescent="0.25">
      <c r="F88">
        <f t="shared" si="3"/>
        <v>87</v>
      </c>
    </row>
    <row r="89" spans="6:6" x14ac:dyDescent="0.25">
      <c r="F89">
        <f t="shared" si="3"/>
        <v>88</v>
      </c>
    </row>
    <row r="90" spans="6:6" x14ac:dyDescent="0.25">
      <c r="F90">
        <f t="shared" si="3"/>
        <v>89</v>
      </c>
    </row>
    <row r="91" spans="6:6" x14ac:dyDescent="0.25">
      <c r="F91">
        <f t="shared" si="3"/>
        <v>90</v>
      </c>
    </row>
    <row r="92" spans="6:6" x14ac:dyDescent="0.25">
      <c r="F92">
        <f t="shared" si="3"/>
        <v>91</v>
      </c>
    </row>
    <row r="93" spans="6:6" x14ac:dyDescent="0.25">
      <c r="F93">
        <f t="shared" si="3"/>
        <v>92</v>
      </c>
    </row>
    <row r="94" spans="6:6" x14ac:dyDescent="0.25">
      <c r="F94">
        <f t="shared" si="3"/>
        <v>93</v>
      </c>
    </row>
    <row r="95" spans="6:6" x14ac:dyDescent="0.25">
      <c r="F95">
        <f t="shared" si="3"/>
        <v>94</v>
      </c>
    </row>
    <row r="96" spans="6:6" x14ac:dyDescent="0.25">
      <c r="F96">
        <f t="shared" si="3"/>
        <v>95</v>
      </c>
    </row>
    <row r="97" spans="6:6" x14ac:dyDescent="0.25">
      <c r="F97">
        <f t="shared" si="3"/>
        <v>96</v>
      </c>
    </row>
    <row r="98" spans="6:6" x14ac:dyDescent="0.25">
      <c r="F98">
        <f t="shared" si="3"/>
        <v>97</v>
      </c>
    </row>
    <row r="99" spans="6:6" x14ac:dyDescent="0.25">
      <c r="F99">
        <f t="shared" si="3"/>
        <v>98</v>
      </c>
    </row>
    <row r="100" spans="6:6" x14ac:dyDescent="0.25">
      <c r="F100">
        <f t="shared" si="3"/>
        <v>99</v>
      </c>
    </row>
    <row r="101" spans="6:6" x14ac:dyDescent="0.25">
      <c r="F101">
        <f>F100+1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>UE Katowice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Student8</dc:creator>
  <cp:lastModifiedBy>Jarek Nocuń</cp:lastModifiedBy>
  <cp:lastPrinted>2023-01-25T19:27:00Z</cp:lastPrinted>
  <dcterms:created xsi:type="dcterms:W3CDTF">2022-11-23T10:43:21Z</dcterms:created>
  <dcterms:modified xsi:type="dcterms:W3CDTF">2024-05-17T07:31:23Z</dcterms:modified>
</cp:coreProperties>
</file>